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2aa8473750457e/Desktop/"/>
    </mc:Choice>
  </mc:AlternateContent>
  <xr:revisionPtr revIDLastSave="0" documentId="8_{62141D6D-7AF4-42AF-B5C7-303A72CC0F4D}" xr6:coauthVersionLast="47" xr6:coauthVersionMax="47" xr10:uidLastSave="{00000000-0000-0000-0000-000000000000}"/>
  <bookViews>
    <workbookView xWindow="25812" yWindow="-108" windowWidth="30936" windowHeight="18696" xr2:uid="{08C29B94-8706-431D-AAFE-61F26DEA073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D23" i="1"/>
  <c r="D18" i="1"/>
  <c r="D11" i="1"/>
</calcChain>
</file>

<file path=xl/sharedStrings.xml><?xml version="1.0" encoding="utf-8"?>
<sst xmlns="http://schemas.openxmlformats.org/spreadsheetml/2006/main" count="45" uniqueCount="37">
  <si>
    <t>Componente</t>
  </si>
  <si>
    <t>Modello</t>
  </si>
  <si>
    <t>Sito</t>
  </si>
  <si>
    <t>Prezzo (€)</t>
  </si>
  <si>
    <t>Switch (6x)</t>
  </si>
  <si>
    <t>Cisco C9200L-24T-4G-E</t>
  </si>
  <si>
    <t>it-market.com</t>
  </si>
  <si>
    <t>Firewall</t>
  </si>
  <si>
    <t>Cisco Secure Firewall 1230</t>
  </si>
  <si>
    <t>itosolutions.net</t>
  </si>
  <si>
    <t>Computer Aziendali (120x)</t>
  </si>
  <si>
    <t>Lenovo ThinkCentre neo 50q Gen 6</t>
  </si>
  <si>
    <t>lenovo.com</t>
  </si>
  <si>
    <t>Monitor (120x)</t>
  </si>
  <si>
    <t>HP 3 Pro 23,8" - 324pe</t>
  </si>
  <si>
    <t>hp.com</t>
  </si>
  <si>
    <t>Tastiere e Mouse (120x)</t>
  </si>
  <si>
    <t>Logitech MK295 Silent Wireless Combo</t>
  </si>
  <si>
    <t>amazon.it</t>
  </si>
  <si>
    <t>Router (3x)</t>
  </si>
  <si>
    <t>Cisco Catalyst C8200-1N-4T</t>
  </si>
  <si>
    <t>Switch Core</t>
  </si>
  <si>
    <t>Cisco C9300-24T-A</t>
  </si>
  <si>
    <t>Server (8x)</t>
  </si>
  <si>
    <t>Cisco UCSC-C220-M3SBE</t>
  </si>
  <si>
    <t>Switch IDS</t>
  </si>
  <si>
    <t>Cisco C9300-24S-A</t>
  </si>
  <si>
    <t xml:space="preserve">Totale </t>
  </si>
  <si>
    <t>Servizio e Manodopera</t>
  </si>
  <si>
    <t>TAP, transceiver e cablaggio</t>
  </si>
  <si>
    <t>Gestione Centralizzata</t>
  </si>
  <si>
    <t>Installazione e collaudo</t>
  </si>
  <si>
    <t>Investimento iniziale</t>
  </si>
  <si>
    <t>Rinnovi annui</t>
  </si>
  <si>
    <t>SOC esterno 24/7</t>
  </si>
  <si>
    <t>Supporto e gestione piattaforma</t>
  </si>
  <si>
    <t>Totale complessivo (1 anno di rinnovi compresi)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</si>
</sst>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0" fillId="0" borderId="3" xfId="0" applyBorder="1"/>
    <xf numFmtId="3" fontId="0" fillId="0" borderId="3" xfId="0" applyNumberFormat="1" applyBorder="1"/>
    <xf numFmtId="0" fontId="0" fillId="0" borderId="4" xfId="0" applyBorder="1"/>
    <xf numFmtId="4" fontId="0" fillId="0" borderId="4" xfId="0" applyNumberFormat="1" applyBorder="1"/>
    <xf numFmtId="3" fontId="0" fillId="0" borderId="4" xfId="0" applyNumberFormat="1" applyBorder="1"/>
    <xf numFmtId="0" fontId="1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1" fillId="2" borderId="5" xfId="0" applyFont="1" applyFill="1" applyBorder="1" applyAlignment="1">
      <alignment horizontal="center"/>
    </xf>
    <xf numFmtId="3" fontId="1" fillId="2" borderId="2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AD98-E930-4F5B-8807-7581D74DC379}">
  <dimension ref="A1:D26"/>
  <sheetViews>
    <sheetView tabSelected="1" workbookViewId="0">
      <selection activeCell="E16" sqref="E16"/>
    </sheetView>
  </sheetViews>
  <sheetFormatPr defaultRowHeight="14.5" x14ac:dyDescent="0.35"/>
  <cols>
    <col min="1" max="1" width="41.1796875" bestFit="1" customWidth="1"/>
    <col min="2" max="2" width="33.36328125" bestFit="1" customWidth="1"/>
    <col min="3" max="3" width="13.90625" bestFit="1" customWidth="1"/>
    <col min="4" max="4" width="9.8164062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3" t="s">
        <v>4</v>
      </c>
      <c r="B2" s="3" t="s">
        <v>5</v>
      </c>
      <c r="C2" s="3" t="s">
        <v>6</v>
      </c>
      <c r="D2" s="4">
        <v>8925</v>
      </c>
    </row>
    <row r="3" spans="1:4" x14ac:dyDescent="0.35">
      <c r="A3" s="5" t="s">
        <v>7</v>
      </c>
      <c r="B3" s="5" t="s">
        <v>8</v>
      </c>
      <c r="C3" s="5" t="s">
        <v>9</v>
      </c>
      <c r="D3" s="6">
        <v>8135.75</v>
      </c>
    </row>
    <row r="4" spans="1:4" x14ac:dyDescent="0.35">
      <c r="A4" s="5" t="s">
        <v>10</v>
      </c>
      <c r="B4" s="5" t="s">
        <v>11</v>
      </c>
      <c r="C4" s="5" t="s">
        <v>12</v>
      </c>
      <c r="D4" s="6">
        <v>107919.6</v>
      </c>
    </row>
    <row r="5" spans="1:4" x14ac:dyDescent="0.35">
      <c r="A5" s="5" t="s">
        <v>13</v>
      </c>
      <c r="B5" s="5" t="s">
        <v>14</v>
      </c>
      <c r="C5" s="5" t="s">
        <v>15</v>
      </c>
      <c r="D5" s="6">
        <v>16630.8</v>
      </c>
    </row>
    <row r="6" spans="1:4" x14ac:dyDescent="0.35">
      <c r="A6" s="5" t="s">
        <v>16</v>
      </c>
      <c r="B6" s="5" t="s">
        <v>17</v>
      </c>
      <c r="C6" s="5" t="s">
        <v>18</v>
      </c>
      <c r="D6" s="7">
        <v>3588</v>
      </c>
    </row>
    <row r="7" spans="1:4" x14ac:dyDescent="0.35">
      <c r="A7" s="5" t="s">
        <v>19</v>
      </c>
      <c r="B7" s="5" t="s">
        <v>20</v>
      </c>
      <c r="C7" s="5" t="s">
        <v>6</v>
      </c>
      <c r="D7" s="6">
        <v>6604.5</v>
      </c>
    </row>
    <row r="8" spans="1:4" x14ac:dyDescent="0.35">
      <c r="A8" s="5" t="s">
        <v>21</v>
      </c>
      <c r="B8" s="5" t="s">
        <v>22</v>
      </c>
      <c r="C8" s="5" t="s">
        <v>6</v>
      </c>
      <c r="D8" s="6">
        <v>2796.5</v>
      </c>
    </row>
    <row r="9" spans="1:4" x14ac:dyDescent="0.35">
      <c r="A9" s="5" t="s">
        <v>23</v>
      </c>
      <c r="B9" s="5" t="s">
        <v>24</v>
      </c>
      <c r="C9" s="5" t="s">
        <v>6</v>
      </c>
      <c r="D9" s="7">
        <v>52360</v>
      </c>
    </row>
    <row r="10" spans="1:4" x14ac:dyDescent="0.35">
      <c r="A10" s="5" t="s">
        <v>25</v>
      </c>
      <c r="B10" s="5" t="s">
        <v>26</v>
      </c>
      <c r="C10" s="5" t="s">
        <v>6</v>
      </c>
      <c r="D10" s="7">
        <v>25942</v>
      </c>
    </row>
    <row r="11" spans="1:4" x14ac:dyDescent="0.35">
      <c r="A11" s="8" t="s">
        <v>27</v>
      </c>
      <c r="B11" s="5"/>
      <c r="C11" s="5"/>
      <c r="D11" s="7">
        <f>SUM(D2:D10)</f>
        <v>232902.15</v>
      </c>
    </row>
    <row r="12" spans="1:4" ht="15" thickBot="1" x14ac:dyDescent="0.4"/>
    <row r="13" spans="1:4" ht="15" thickBot="1" x14ac:dyDescent="0.4">
      <c r="A13" s="9" t="s">
        <v>28</v>
      </c>
      <c r="B13" s="10"/>
      <c r="C13" s="10"/>
      <c r="D13" s="9" t="s">
        <v>3</v>
      </c>
    </row>
    <row r="14" spans="1:4" x14ac:dyDescent="0.35">
      <c r="A14" s="3" t="s">
        <v>29</v>
      </c>
      <c r="B14" s="3"/>
      <c r="C14" s="3"/>
      <c r="D14" s="4">
        <v>2000</v>
      </c>
    </row>
    <row r="15" spans="1:4" x14ac:dyDescent="0.35">
      <c r="A15" s="5" t="s">
        <v>30</v>
      </c>
      <c r="B15" s="5"/>
      <c r="C15" s="5"/>
      <c r="D15" s="7">
        <v>3000</v>
      </c>
    </row>
    <row r="16" spans="1:4" x14ac:dyDescent="0.35">
      <c r="A16" s="5" t="s">
        <v>31</v>
      </c>
      <c r="B16" s="5"/>
      <c r="C16" s="5"/>
      <c r="D16" s="7">
        <v>6000</v>
      </c>
    </row>
    <row r="17" spans="1:4" x14ac:dyDescent="0.35">
      <c r="A17" s="5" t="s">
        <v>32</v>
      </c>
      <c r="B17" s="5"/>
      <c r="C17" s="5"/>
      <c r="D17" s="7">
        <v>35000</v>
      </c>
    </row>
    <row r="18" spans="1:4" x14ac:dyDescent="0.35">
      <c r="A18" s="8" t="s">
        <v>27</v>
      </c>
      <c r="B18" s="5"/>
      <c r="C18" s="5"/>
      <c r="D18" s="7">
        <f>SUM(D14:D17)</f>
        <v>46000</v>
      </c>
    </row>
    <row r="19" spans="1:4" ht="15" thickBot="1" x14ac:dyDescent="0.4"/>
    <row r="20" spans="1:4" ht="15" thickBot="1" x14ac:dyDescent="0.4">
      <c r="A20" s="9" t="s">
        <v>33</v>
      </c>
      <c r="B20" s="10"/>
      <c r="C20" s="10"/>
      <c r="D20" s="9" t="s">
        <v>3</v>
      </c>
    </row>
    <row r="21" spans="1:4" x14ac:dyDescent="0.35">
      <c r="A21" s="3" t="s">
        <v>34</v>
      </c>
      <c r="B21" s="3"/>
      <c r="C21" s="3"/>
      <c r="D21" s="4">
        <v>30000</v>
      </c>
    </row>
    <row r="22" spans="1:4" x14ac:dyDescent="0.35">
      <c r="A22" s="5" t="s">
        <v>35</v>
      </c>
      <c r="B22" s="5"/>
      <c r="C22" s="5"/>
      <c r="D22" s="7">
        <v>4000</v>
      </c>
    </row>
    <row r="23" spans="1:4" x14ac:dyDescent="0.35">
      <c r="A23" s="8" t="s">
        <v>27</v>
      </c>
      <c r="B23" s="5"/>
      <c r="C23" s="5"/>
      <c r="D23" s="7">
        <f>SUM(D21:D22)</f>
        <v>34000</v>
      </c>
    </row>
    <row r="25" spans="1:4" ht="15" thickBot="1" x14ac:dyDescent="0.4"/>
    <row r="26" spans="1:4" ht="15" thickBot="1" x14ac:dyDescent="0.4">
      <c r="A26" s="11" t="s">
        <v>36</v>
      </c>
      <c r="B26" s="10"/>
      <c r="C26" s="10"/>
      <c r="D26" s="12">
        <f>SUM(D21:D22,D14:D17,D2:D10)</f>
        <v>312902.15000000002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Varriale</dc:creator>
  <cp:lastModifiedBy>Simone Varriale</cp:lastModifiedBy>
  <dcterms:created xsi:type="dcterms:W3CDTF">2026-10-28T15:14:21Z</dcterms:created>
  <dcterms:modified xsi:type="dcterms:W3CDTF">2026-10-28T15:15:28Z</dcterms:modified>
</cp:coreProperties>
</file>
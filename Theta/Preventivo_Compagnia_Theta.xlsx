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2aa8473750457e/Desktop/compagnia theta/"/>
    </mc:Choice>
  </mc:AlternateContent>
  <xr:revisionPtr revIDLastSave="7" documentId="11_EF99AA08BE004881E27A4E9ACB0B6D4FB99B3463" xr6:coauthVersionLast="47" xr6:coauthVersionMax="47" xr10:uidLastSave="{2C6B951A-98F0-476F-8CDA-F1B8B81F05BD}"/>
  <bookViews>
    <workbookView xWindow="25812" yWindow="-108" windowWidth="30936" windowHeight="18696" xr2:uid="{00000000-000D-0000-FFFF-FFFF00000000}"/>
  </bookViews>
  <sheets>
    <sheet name="Preventivo Theta" sheetId="1" r:id="rId1"/>
  </sheets>
  <calcPr calcId="191029"/>
</workbook>
</file>

<file path=xl/calcChain.xml><?xml version="1.0" encoding="utf-8"?>
<calcChain xmlns="http://schemas.openxmlformats.org/spreadsheetml/2006/main">
  <c r="K26" i="1" l="1"/>
  <c r="K18" i="1"/>
  <c r="K11" i="1"/>
  <c r="D26" i="1"/>
  <c r="D18" i="1"/>
  <c r="D11" i="1"/>
  <c r="K23" i="1"/>
  <c r="D23" i="1"/>
</calcChain>
</file>

<file path=xl/sharedStrings.xml><?xml version="1.0" encoding="utf-8"?>
<sst xmlns="http://schemas.openxmlformats.org/spreadsheetml/2006/main" count="90" uniqueCount="43">
  <si>
    <t>Componente</t>
  </si>
  <si>
    <t>Modello</t>
  </si>
  <si>
    <t>Sito</t>
  </si>
  <si>
    <t>Prezzo (€)</t>
  </si>
  <si>
    <t>Cisco C9200L-24T-4G-E</t>
  </si>
  <si>
    <t>it-market.com</t>
  </si>
  <si>
    <t>Firewall</t>
  </si>
  <si>
    <t>Cisco Secure Firewall 1230</t>
  </si>
  <si>
    <t>itosolutions.net</t>
  </si>
  <si>
    <t>Lenovo ThinkCentre neo 50q Gen 6</t>
  </si>
  <si>
    <t>lenovo.com</t>
  </si>
  <si>
    <t>HP 3 Pro 23,8" - 324pe</t>
  </si>
  <si>
    <t>hp.com</t>
  </si>
  <si>
    <t>Logitech MK295 Silent Wireless Combo</t>
  </si>
  <si>
    <t>amazon.it</t>
  </si>
  <si>
    <t>Cisco Catalyst C8200-1N-4T</t>
  </si>
  <si>
    <t>Cisco C9300-24T-A</t>
  </si>
  <si>
    <t>TAP, transceiver e cablaggio</t>
  </si>
  <si>
    <t>Installazione e collaudo</t>
  </si>
  <si>
    <t>SOC esterno 24/7</t>
  </si>
  <si>
    <t>Switch Core</t>
  </si>
  <si>
    <t>Switch (6x)</t>
  </si>
  <si>
    <t>Computer Aziendali (120x)</t>
  </si>
  <si>
    <t>Monitor (120x)</t>
  </si>
  <si>
    <t>Tastiere e Mouse (120x)</t>
  </si>
  <si>
    <t>Router (3x)</t>
  </si>
  <si>
    <t>Server (8x)</t>
  </si>
  <si>
    <t>Cisco UCSC-C220-M3SBE</t>
  </si>
  <si>
    <t xml:space="preserve">Totale </t>
  </si>
  <si>
    <t>Servizio e Manodopera</t>
  </si>
  <si>
    <t>Gestione Centralizzata</t>
  </si>
  <si>
    <t>Investimento iniziale</t>
  </si>
  <si>
    <t>Rinnovi annui</t>
  </si>
  <si>
    <t>Supporto e gestione piattaforma</t>
  </si>
  <si>
    <t>Totale complessivo (1 anno di rinnovi compresi)</t>
  </si>
  <si>
    <t>Computer Aziendali (90x)</t>
  </si>
  <si>
    <t>Monitor (90x)</t>
  </si>
  <si>
    <t>Tastiere e Mouse (90x)</t>
  </si>
  <si>
    <t>Server (5x)</t>
  </si>
  <si>
    <t>Cisco C9300-24S-A</t>
  </si>
  <si>
    <t>Switch IDS (2x)</t>
  </si>
  <si>
    <t>Edificio 1</t>
  </si>
  <si>
    <t>Edificio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</si>
</sst>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3" borderId="6" applyNumberFormat="0" applyAlignment="0" applyProtection="0"/>
  </cellStyleXfs>
  <cellXfs count="15">
    <xf numFmtId="0" fontId="0" fillId="0" borderId="0" xfId="0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3" xfId="0" applyBorder="1"/>
    <xf numFmtId="3" fontId="0" fillId="0" borderId="3" xfId="0" applyNumberFormat="1" applyBorder="1"/>
    <xf numFmtId="0" fontId="1" fillId="2" borderId="2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2" borderId="2" xfId="0" applyFill="1" applyBorder="1"/>
    <xf numFmtId="0" fontId="2" fillId="2" borderId="5" xfId="0" applyFont="1" applyFill="1" applyBorder="1" applyAlignment="1">
      <alignment horizontal="center"/>
    </xf>
    <xf numFmtId="3" fontId="4" fillId="2" borderId="2" xfId="1" applyNumberFormat="1" applyFill="1" applyBorder="1"/>
    <xf numFmtId="0" fontId="3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</cellXfs>
  <cellStyles count="2">
    <cellStyle name="Calcolo" xfId="1" builtinId="22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K27" sqref="K27"/>
    </sheetView>
  </sheetViews>
  <sheetFormatPr defaultRowHeight="14.5" x14ac:dyDescent="0.35"/>
  <cols>
    <col min="1" max="1" width="41.1796875" bestFit="1" customWidth="1"/>
    <col min="2" max="2" width="33.36328125" bestFit="1" customWidth="1"/>
    <col min="3" max="3" width="13.90625" bestFit="1" customWidth="1"/>
    <col min="4" max="4" width="9.81640625" bestFit="1" customWidth="1"/>
    <col min="8" max="8" width="41.1796875" customWidth="1"/>
    <col min="9" max="9" width="33.36328125" bestFit="1" customWidth="1"/>
    <col min="10" max="10" width="13.90625" bestFit="1" customWidth="1"/>
    <col min="11" max="11" width="9.08984375" bestFit="1" customWidth="1"/>
  </cols>
  <sheetData>
    <row r="1" spans="1:11" ht="15" thickBot="1" x14ac:dyDescent="0.4">
      <c r="A1" s="7" t="s">
        <v>0</v>
      </c>
      <c r="B1" s="7" t="s">
        <v>1</v>
      </c>
      <c r="C1" s="7" t="s">
        <v>2</v>
      </c>
      <c r="D1" s="8" t="s">
        <v>3</v>
      </c>
      <c r="H1" s="7" t="s">
        <v>0</v>
      </c>
      <c r="I1" s="7" t="s">
        <v>1</v>
      </c>
      <c r="J1" s="7" t="s">
        <v>2</v>
      </c>
      <c r="K1" s="13" t="s">
        <v>3</v>
      </c>
    </row>
    <row r="2" spans="1:11" x14ac:dyDescent="0.35">
      <c r="A2" s="5" t="s">
        <v>21</v>
      </c>
      <c r="B2" s="5" t="s">
        <v>4</v>
      </c>
      <c r="C2" s="5" t="s">
        <v>5</v>
      </c>
      <c r="D2" s="6">
        <v>8925</v>
      </c>
      <c r="H2" s="5" t="s">
        <v>21</v>
      </c>
      <c r="I2" s="5" t="s">
        <v>4</v>
      </c>
      <c r="J2" s="5" t="s">
        <v>5</v>
      </c>
      <c r="K2" s="6">
        <v>8925</v>
      </c>
    </row>
    <row r="3" spans="1:11" x14ac:dyDescent="0.35">
      <c r="A3" s="1" t="s">
        <v>6</v>
      </c>
      <c r="B3" s="1" t="s">
        <v>7</v>
      </c>
      <c r="C3" s="1" t="s">
        <v>8</v>
      </c>
      <c r="D3" s="2">
        <v>8135.75</v>
      </c>
      <c r="H3" s="1" t="s">
        <v>6</v>
      </c>
      <c r="I3" s="1" t="s">
        <v>7</v>
      </c>
      <c r="J3" s="1" t="s">
        <v>8</v>
      </c>
      <c r="K3" s="2">
        <v>8135.75</v>
      </c>
    </row>
    <row r="4" spans="1:11" x14ac:dyDescent="0.35">
      <c r="A4" s="1" t="s">
        <v>22</v>
      </c>
      <c r="B4" s="1" t="s">
        <v>9</v>
      </c>
      <c r="C4" s="1" t="s">
        <v>10</v>
      </c>
      <c r="D4" s="2">
        <v>107919.6</v>
      </c>
      <c r="H4" s="1" t="s">
        <v>35</v>
      </c>
      <c r="I4" s="1" t="s">
        <v>9</v>
      </c>
      <c r="J4" s="1" t="s">
        <v>10</v>
      </c>
      <c r="K4" s="2">
        <v>80039.7</v>
      </c>
    </row>
    <row r="5" spans="1:11" x14ac:dyDescent="0.35">
      <c r="A5" s="1" t="s">
        <v>23</v>
      </c>
      <c r="B5" s="1" t="s">
        <v>11</v>
      </c>
      <c r="C5" s="1" t="s">
        <v>12</v>
      </c>
      <c r="D5" s="2">
        <v>16630.8</v>
      </c>
      <c r="H5" s="1" t="s">
        <v>36</v>
      </c>
      <c r="I5" s="1" t="s">
        <v>11</v>
      </c>
      <c r="J5" s="1" t="s">
        <v>12</v>
      </c>
      <c r="K5" s="2">
        <v>12473.1</v>
      </c>
    </row>
    <row r="6" spans="1:11" x14ac:dyDescent="0.35">
      <c r="A6" s="1" t="s">
        <v>24</v>
      </c>
      <c r="B6" s="1" t="s">
        <v>13</v>
      </c>
      <c r="C6" s="1" t="s">
        <v>14</v>
      </c>
      <c r="D6" s="3">
        <v>3588</v>
      </c>
      <c r="H6" s="1" t="s">
        <v>37</v>
      </c>
      <c r="I6" s="1" t="s">
        <v>13</v>
      </c>
      <c r="J6" s="1" t="s">
        <v>14</v>
      </c>
      <c r="K6" s="3">
        <v>2691</v>
      </c>
    </row>
    <row r="7" spans="1:11" x14ac:dyDescent="0.35">
      <c r="A7" s="1" t="s">
        <v>25</v>
      </c>
      <c r="B7" s="1" t="s">
        <v>15</v>
      </c>
      <c r="C7" s="1" t="s">
        <v>5</v>
      </c>
      <c r="D7" s="2">
        <v>6604.5</v>
      </c>
      <c r="H7" s="1" t="s">
        <v>25</v>
      </c>
      <c r="I7" s="1" t="s">
        <v>15</v>
      </c>
      <c r="J7" s="1" t="s">
        <v>5</v>
      </c>
      <c r="K7" s="2">
        <v>6604.5</v>
      </c>
    </row>
    <row r="8" spans="1:11" x14ac:dyDescent="0.35">
      <c r="A8" s="1" t="s">
        <v>20</v>
      </c>
      <c r="B8" s="1" t="s">
        <v>16</v>
      </c>
      <c r="C8" s="1" t="s">
        <v>5</v>
      </c>
      <c r="D8" s="2">
        <v>2796.5</v>
      </c>
      <c r="H8" s="1" t="s">
        <v>20</v>
      </c>
      <c r="I8" s="1" t="s">
        <v>16</v>
      </c>
      <c r="J8" s="1" t="s">
        <v>5</v>
      </c>
      <c r="K8" s="2">
        <v>2796.5</v>
      </c>
    </row>
    <row r="9" spans="1:11" x14ac:dyDescent="0.35">
      <c r="A9" s="1" t="s">
        <v>26</v>
      </c>
      <c r="B9" s="1" t="s">
        <v>27</v>
      </c>
      <c r="C9" s="1" t="s">
        <v>5</v>
      </c>
      <c r="D9" s="3">
        <v>52360</v>
      </c>
      <c r="H9" s="1" t="s">
        <v>38</v>
      </c>
      <c r="I9" s="1" t="s">
        <v>27</v>
      </c>
      <c r="J9" s="1" t="s">
        <v>5</v>
      </c>
      <c r="K9" s="3">
        <v>32725</v>
      </c>
    </row>
    <row r="10" spans="1:11" x14ac:dyDescent="0.35">
      <c r="A10" s="1" t="s">
        <v>40</v>
      </c>
      <c r="B10" s="1" t="s">
        <v>39</v>
      </c>
      <c r="C10" s="1" t="s">
        <v>5</v>
      </c>
      <c r="D10" s="3">
        <v>25942</v>
      </c>
      <c r="H10" s="1" t="s">
        <v>40</v>
      </c>
      <c r="I10" s="1" t="s">
        <v>39</v>
      </c>
      <c r="J10" s="1" t="s">
        <v>5</v>
      </c>
      <c r="K10" s="3">
        <v>25942</v>
      </c>
    </row>
    <row r="11" spans="1:11" x14ac:dyDescent="0.35">
      <c r="A11" s="4" t="s">
        <v>28</v>
      </c>
      <c r="B11" s="1"/>
      <c r="C11" s="1"/>
      <c r="D11" s="3">
        <f>SUM(D2:D10)</f>
        <v>232902.15</v>
      </c>
      <c r="H11" s="4" t="s">
        <v>28</v>
      </c>
      <c r="I11" s="1"/>
      <c r="J11" s="1"/>
      <c r="K11" s="3">
        <f>SUM(K2:K10)</f>
        <v>180332.55</v>
      </c>
    </row>
    <row r="12" spans="1:11" ht="15" thickBot="1" x14ac:dyDescent="0.4"/>
    <row r="13" spans="1:11" ht="15" thickBot="1" x14ac:dyDescent="0.4">
      <c r="A13" s="9" t="s">
        <v>29</v>
      </c>
      <c r="B13" s="10"/>
      <c r="C13" s="10"/>
      <c r="D13" s="9" t="s">
        <v>3</v>
      </c>
      <c r="H13" s="9" t="s">
        <v>29</v>
      </c>
      <c r="I13" s="10"/>
      <c r="J13" s="10"/>
      <c r="K13" s="10"/>
    </row>
    <row r="14" spans="1:11" x14ac:dyDescent="0.35">
      <c r="A14" s="5" t="s">
        <v>17</v>
      </c>
      <c r="B14" s="5"/>
      <c r="C14" s="5"/>
      <c r="D14" s="6">
        <v>2000</v>
      </c>
      <c r="H14" s="5" t="s">
        <v>17</v>
      </c>
      <c r="I14" s="5"/>
      <c r="J14" s="5"/>
      <c r="K14" s="6">
        <v>1850</v>
      </c>
    </row>
    <row r="15" spans="1:11" x14ac:dyDescent="0.35">
      <c r="A15" s="1" t="s">
        <v>30</v>
      </c>
      <c r="B15" s="1"/>
      <c r="C15" s="1"/>
      <c r="D15" s="3">
        <v>3000</v>
      </c>
      <c r="H15" s="1" t="s">
        <v>30</v>
      </c>
      <c r="I15" s="1"/>
      <c r="J15" s="1"/>
      <c r="K15" s="3">
        <v>3000</v>
      </c>
    </row>
    <row r="16" spans="1:11" x14ac:dyDescent="0.35">
      <c r="A16" s="1" t="s">
        <v>18</v>
      </c>
      <c r="B16" s="1"/>
      <c r="C16" s="1"/>
      <c r="D16" s="3">
        <v>6000</v>
      </c>
      <c r="H16" s="1" t="s">
        <v>18</v>
      </c>
      <c r="I16" s="1"/>
      <c r="J16" s="1"/>
      <c r="K16" s="3">
        <v>6000</v>
      </c>
    </row>
    <row r="17" spans="1:11" x14ac:dyDescent="0.35">
      <c r="A17" s="1" t="s">
        <v>31</v>
      </c>
      <c r="B17" s="1"/>
      <c r="C17" s="1"/>
      <c r="D17" s="3">
        <v>35000</v>
      </c>
      <c r="H17" s="1" t="s">
        <v>31</v>
      </c>
      <c r="I17" s="1"/>
      <c r="J17" s="1"/>
      <c r="K17" s="3">
        <v>35000</v>
      </c>
    </row>
    <row r="18" spans="1:11" x14ac:dyDescent="0.35">
      <c r="A18" s="4" t="s">
        <v>28</v>
      </c>
      <c r="B18" s="1"/>
      <c r="C18" s="1"/>
      <c r="D18" s="3">
        <f>SUM(D14:D17)</f>
        <v>46000</v>
      </c>
      <c r="H18" s="1"/>
      <c r="I18" s="1"/>
      <c r="J18" s="1"/>
      <c r="K18" s="3">
        <f>SUM(K14:K17)</f>
        <v>45850</v>
      </c>
    </row>
    <row r="19" spans="1:11" ht="15" thickBot="1" x14ac:dyDescent="0.4"/>
    <row r="20" spans="1:11" ht="15" thickBot="1" x14ac:dyDescent="0.4">
      <c r="A20" s="9" t="s">
        <v>32</v>
      </c>
      <c r="B20" s="10"/>
      <c r="C20" s="10"/>
      <c r="D20" s="9" t="s">
        <v>3</v>
      </c>
      <c r="H20" s="9" t="s">
        <v>32</v>
      </c>
      <c r="I20" s="10"/>
      <c r="J20" s="10"/>
      <c r="K20" s="9" t="s">
        <v>3</v>
      </c>
    </row>
    <row r="21" spans="1:11" x14ac:dyDescent="0.35">
      <c r="A21" s="5" t="s">
        <v>19</v>
      </c>
      <c r="B21" s="5"/>
      <c r="C21" s="5"/>
      <c r="D21" s="6">
        <v>30000</v>
      </c>
      <c r="H21" s="5" t="s">
        <v>19</v>
      </c>
      <c r="I21" s="5"/>
      <c r="J21" s="5"/>
      <c r="K21" s="6">
        <v>30000</v>
      </c>
    </row>
    <row r="22" spans="1:11" x14ac:dyDescent="0.35">
      <c r="A22" s="1" t="s">
        <v>33</v>
      </c>
      <c r="B22" s="1"/>
      <c r="C22" s="1"/>
      <c r="D22" s="3">
        <v>4000</v>
      </c>
      <c r="H22" s="1" t="s">
        <v>33</v>
      </c>
      <c r="I22" s="1"/>
      <c r="J22" s="1"/>
      <c r="K22" s="3">
        <v>4000</v>
      </c>
    </row>
    <row r="23" spans="1:11" x14ac:dyDescent="0.35">
      <c r="A23" s="4" t="s">
        <v>28</v>
      </c>
      <c r="B23" s="1"/>
      <c r="C23" s="1"/>
      <c r="D23" s="3">
        <f>SUM(D21:D22)</f>
        <v>34000</v>
      </c>
      <c r="H23" s="4" t="s">
        <v>28</v>
      </c>
      <c r="I23" s="1"/>
      <c r="J23" s="1"/>
      <c r="K23" s="3">
        <f>SUM(K21:K22)</f>
        <v>34000</v>
      </c>
    </row>
    <row r="25" spans="1:11" ht="15" thickBot="1" x14ac:dyDescent="0.4"/>
    <row r="26" spans="1:11" ht="15" thickBot="1" x14ac:dyDescent="0.4">
      <c r="A26" s="11" t="s">
        <v>34</v>
      </c>
      <c r="B26" s="14" t="s">
        <v>41</v>
      </c>
      <c r="C26" s="10"/>
      <c r="D26" s="12">
        <f>SUM(D21:D22,D14:D17,D2:D10)</f>
        <v>312902.15000000002</v>
      </c>
      <c r="H26" s="11" t="s">
        <v>34</v>
      </c>
      <c r="I26" s="14" t="s">
        <v>42</v>
      </c>
      <c r="J26" s="10"/>
      <c r="K26" s="12">
        <f>SUM(K21:K22,K14:K17,K2:K10)</f>
        <v>260182.55000000002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Preventivo Theta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Varriale</cp:lastModifiedBy>
  <dcterms:created xsi:type="dcterms:W3CDTF">2026-10-28T11:12:12Z</dcterms:created>
  <dcterms:modified xsi:type="dcterms:W3CDTF">2026-10-29T09:32:39Z</dcterms:modified>
</cp:coreProperties>
</file>